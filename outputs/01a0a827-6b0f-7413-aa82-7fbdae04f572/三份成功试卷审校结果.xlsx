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21745dd20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校结果" sheetId="1" r:id="R467de571f8aa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0"/>
    <x:numFmt numFmtId="203" formatCode="0.00"/>
  </x:numFmts>
  <x:fonts count="5">
    <x:font>
      <x:sz val="11"/>
      <x:name val="Carlito"/>
    </x:font>
    <x:font>
      <x:b/>
      <x:sz val="14"/>
      <x:color rgb="FF1C3552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5D6B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3F6FA"/>
      </x:patternFill>
    </x:fill>
  </x:fills>
  <x:borders count="11">
    <x:border/>
    <x:border>
      <x:bottom style="thin">
        <x:color rgb="FF9DB4CB"/>
      </x:bottom>
    </x:border>
    <x:border>
      <x:right style="thin">
        <x:color rgb="FFEEF2F6"/>
      </x:right>
      <x:bottom style="thin">
        <x:color rgb="FFE3E9F0"/>
      </x:bottom>
    </x:border>
    <x:border>
      <x:left style="thin">
        <x:color rgb="FFEEF2F6"/>
      </x:left>
      <x:right style="thin">
        <x:color rgb="FFEEF2F6"/>
      </x:right>
      <x:bottom style="thin">
        <x:color rgb="FFE3E9F0"/>
      </x:bottom>
    </x:border>
    <x:border>
      <x:left style="thin">
        <x:color rgb="FFEEF2F6"/>
      </x:left>
      <x:bottom style="thin">
        <x:color rgb="FFE3E9F0"/>
      </x:bottom>
    </x:border>
    <x:border>
      <x:right style="thin">
        <x:color rgb="FFEEF2F6"/>
      </x:right>
      <x:top style="thin">
        <x:color rgb="FFE3E9F0"/>
      </x:top>
      <x:bottom style="thin">
        <x:color rgb="FFE3E9F0"/>
      </x:bottom>
    </x:border>
    <x:border>
      <x:left style="thin">
        <x:color rgb="FFEEF2F6"/>
      </x:left>
      <x:right style="thin">
        <x:color rgb="FFEEF2F6"/>
      </x:right>
      <x:top style="thin">
        <x:color rgb="FFE3E9F0"/>
      </x:top>
      <x:bottom style="thin">
        <x:color rgb="FFE3E9F0"/>
      </x:bottom>
    </x:border>
    <x:border>
      <x:left style="thin">
        <x:color rgb="FFEEF2F6"/>
      </x:left>
      <x:top style="thin">
        <x:color rgb="FFE3E9F0"/>
      </x:top>
      <x:bottom style="thin">
        <x:color rgb="FFE3E9F0"/>
      </x:bottom>
    </x:border>
    <x:border>
      <x:right style="thin">
        <x:color rgb="FFEEF2F6"/>
      </x:right>
      <x:top style="thin">
        <x:color rgb="FFE3E9F0"/>
      </x:top>
      <x:bottom style="thin">
        <x:color rgb="FF9DB4CB"/>
      </x:bottom>
    </x:border>
    <x:border>
      <x:left style="thin">
        <x:color rgb="FFEEF2F6"/>
      </x:left>
      <x:right style="thin">
        <x:color rgb="FFEEF2F6"/>
      </x:right>
      <x:top style="thin">
        <x:color rgb="FFE3E9F0"/>
      </x:top>
      <x:bottom style="thin">
        <x:color rgb="FF9DB4CB"/>
      </x:bottom>
    </x:border>
    <x:border>
      <x:left style="thin">
        <x:color rgb="FFEEF2F6"/>
      </x:left>
      <x:top style="thin">
        <x:color rgb="FFE3E9F0"/>
      </x:top>
      <x:bottom style="thin">
        <x:color rgb="FF9DB4C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3" borderId="6" xfId="0" applyNumberFormat="1" applyFont="1" applyFill="1" applyBorder="1" applyAlignment="1">
      <x:alignment vertical="center"/>
    </x:xf>
    <x:xf numFmtId="203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3" borderId="6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horizontal="right" vertical="center"/>
    </x:xf>
    <x:xf numFmtId="202" fontId="2" fillId="0" borderId="3" xfId="0" applyNumberFormat="1" applyFont="1" applyFill="1" applyBorder="1" applyAlignment="1">
      <x:alignment horizontal="right" vertical="center"/>
    </x:xf>
    <x:xf numFmtId="203" fontId="2" fillId="0" borderId="3" xfId="0" applyNumberFormat="1" applyFont="1" applyFill="1" applyBorder="1" applyAlignment="1">
      <x:alignment horizontal="right" vertical="center"/>
    </x:xf>
    <x:xf numFmtId="202" fontId="2" fillId="3" borderId="6" xfId="0" applyNumberFormat="1" applyFont="1" applyFill="1" applyBorder="1" applyAlignment="1">
      <x:alignment horizontal="right" vertical="center"/>
    </x:xf>
    <x:xf numFmtId="203" fontId="2" fillId="3" borderId="6" xfId="0" applyNumberFormat="1" applyFont="1" applyFill="1" applyBorder="1" applyAlignment="1">
      <x:alignment horizontal="right" vertical="center"/>
    </x:xf>
    <x:xf numFmtId="202" fontId="2" fillId="0" borderId="9" xfId="0" applyNumberFormat="1" applyFont="1" applyFill="1" applyBorder="1" applyAlignment="1">
      <x:alignment horizontal="right" vertical="center"/>
    </x:xf>
    <x:xf numFmtId="203" fontId="2" fillId="0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ca15c074746c9" /><Relationship Type="http://schemas.openxmlformats.org/officeDocument/2006/relationships/theme" Target="/xl/theme/theme1.xml" Id="R39a1bac6e97046ee" /><Relationship Type="http://schemas.openxmlformats.org/officeDocument/2006/relationships/sharedStrings" Target="/xl/sharedStrings.xml" Id="Rd439dafa84ee4e99" /><Relationship Type="http://schemas.openxmlformats.org/officeDocument/2006/relationships/worksheet" Target="/xl/worksheets/sheet1.xml" Id="R467de571f8aa4f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/>
  </x:sheetViews>
  <x:sheetFormatPr defaultRowHeight="15"/>
  <x:cols>
    <x:col min="1" max="1" width="15" hidden="0" customWidth="1"/>
    <x:col min="2" max="2" width="68" hidden="0" customWidth="1"/>
    <x:col min="3" max="3" width="17" hidden="0" customWidth="1"/>
    <x:col min="4" max="4" width="21" hidden="0" customWidth="1"/>
    <x:col min="5" max="5" width="32" hidden="0" customWidth="1"/>
    <x:col min="6" max="6" width="11" hidden="0" customWidth="1"/>
    <x:col min="7" max="7" width="14" hidden="0" customWidth="1"/>
    <x:col min="8" max="8" width="21" hidden="0" customWidth="1"/>
    <x:col min="9" max="9" width="10" hidden="0" customWidth="1"/>
    <x:col min="10" max="10" width="10" hidden="0" customWidth="1"/>
    <x:col min="11" max="11" width="34" hidden="0" customWidth="1"/>
  </x:cols>
  <x:sheetData>
    <x:row r="2">
      <x:c r="A2" s="1" t="str">
        <x:v>三份成功试卷审校结果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7" t="str">
        <x:v>运行日期</x:v>
      </x:c>
      <x:c r="B4" s="7" t="str">
        <x:v>试卷名称</x:v>
      </x:c>
      <x:c r="C4" s="7" t="str">
        <x:v>试卷题目数量</x:v>
      </x:c>
      <x:c r="D4" s="7" t="str">
        <x:v>模型</x:v>
      </x:c>
      <x:c r="E4" s="7" t="str">
        <x:v>Prompt</x:v>
      </x:c>
      <x:c r="F4" s="7" t="str">
        <x:v>错题数</x:v>
      </x:c>
      <x:c r="G4" s="7" t="str">
        <x:v>耗时（秒）</x:v>
      </x:c>
      <x:c r="H4" s="7" t="str">
        <x:v>平均单题耗时（秒）</x:v>
      </x:c>
      <x:c r="I4" s="7" t="str">
        <x:v>并发</x:v>
      </x:c>
      <x:c r="J4" s="7" t="str">
        <x:v>有效行</x:v>
      </x:c>
      <x:c r="K4" s="7" t="str">
        <x:v>run_id</x:v>
      </x:c>
    </x:row>
    <x:row r="5" ht="46" customHeight="1">
      <x:c r="A5" s="21" t="n">
        <x:v>46282</x:v>
      </x:c>
      <x:c r="B5" s="24" t="str">
        <x:v>10题_实际10题_2024广西民族大学824西方科技史.pdf</x:v>
      </x:c>
      <x:c r="C5" s="36" t="n">
        <x:v>10</x:v>
      </x:c>
      <x:c r="D5" s="10" t="str">
        <x:v>Qwen3.8-27B-FP8</x:v>
      </x:c>
      <x:c r="E5" s="10" t="str">
        <x:v>最优版8类 + 27B专用原版</x:v>
      </x:c>
      <x:c r="F5" s="36" t="n">
        <x:v>6</x:v>
      </x:c>
      <x:c r="G5" s="39" t="n">
        <x:v>152.472</x:v>
      </x:c>
      <x:c r="H5" s="40" t="n">
        <x:f>G5/J5</x:f>
        <x:v>11.728615384615384</x:v>
      </x:c>
      <x:c r="I5" s="36" t="n">
        <x:v>40</x:v>
      </x:c>
      <x:c r="J5" s="36" t="n">
        <x:v>13</x:v>
      </x:c>
      <x:c r="K5" s="11" t="str">
        <x:v>best-27b-fullpapers-20260917</x:v>
      </x:c>
    </x:row>
    <x:row r="6" ht="46" customHeight="1">
      <x:c r="A6" s="22" t="n">
        <x:v>46282</x:v>
      </x:c>
      <x:c r="B6" s="25" t="str">
        <x:v>20题_实际20题_2024广西民族大学646普通物理.pdf</x:v>
      </x:c>
      <x:c r="C6" s="37" t="n">
        <x:v>20</x:v>
      </x:c>
      <x:c r="D6" s="19" t="str">
        <x:v>Qwen3.8-27B-FP8</x:v>
      </x:c>
      <x:c r="E6" s="19" t="str">
        <x:v>最优版8类 + 27B专用原版</x:v>
      </x:c>
      <x:c r="F6" s="37" t="n">
        <x:v>12</x:v>
      </x:c>
      <x:c r="G6" s="41" t="n">
        <x:v>549.725</x:v>
      </x:c>
      <x:c r="H6" s="42" t="n">
        <x:f>G6/J6</x:f>
        <x:v>22.905208333333334</x:v>
      </x:c>
      <x:c r="I6" s="37" t="n">
        <x:v>40</x:v>
      </x:c>
      <x:c r="J6" s="37" t="n">
        <x:v>24</x:v>
      </x:c>
      <x:c r="K6" s="20" t="str">
        <x:v>best-27b-fullpapers-20260917</x:v>
      </x:c>
    </x:row>
    <x:row r="7" ht="46" customHeight="1">
      <x:c r="A7" s="23" t="n">
        <x:v>46282</x:v>
      </x:c>
      <x:c r="B7" s="26" t="str">
        <x:v>40题档_实际39题_2023重庆理工大学816会计学原理A卷.pdf</x:v>
      </x:c>
      <x:c r="C7" s="38" t="n">
        <x:v>39</x:v>
      </x:c>
      <x:c r="D7" s="16" t="str">
        <x:v>Qwen3.8-27B-FP8</x:v>
      </x:c>
      <x:c r="E7" s="16" t="str">
        <x:v>最优版8类 + 27B专用原版</x:v>
      </x:c>
      <x:c r="F7" s="38" t="n">
        <x:v>6</x:v>
      </x:c>
      <x:c r="G7" s="43" t="n">
        <x:v>546.525</x:v>
      </x:c>
      <x:c r="H7" s="44" t="n">
        <x:f>G7/J7</x:f>
        <x:v>12.145</x:v>
      </x:c>
      <x:c r="I7" s="38" t="n">
        <x:v>40</x:v>
      </x:c>
      <x:c r="J7" s="38" t="n">
        <x:v>45</x:v>
      </x:c>
      <x:c r="K7" s="17" t="str">
        <x:v>best-27b-fullpapers-20260917</x:v>
      </x:c>
    </x:row>
    <x:row r="9" ht="21" customHeight="1">
      <x:c r="A9" s="45" t="str">
        <x:v>口径：试卷题目数量取文件名标注的实际题数；有效行是本次解析入库的题目记录数。</x:v>
      </x:c>
      <x:c r="B9" s="45"/>
      <x:c r="C9" s="45"/>
      <x:c r="D9" s="45"/>
      <x:c r="E9" s="45"/>
      <x:c r="F9" s="45"/>
      <x:c r="G9" s="45"/>
      <x:c r="H9" s="45"/>
      <x:c r="I9" s="45"/>
      <x:c r="J9" s="45"/>
      <x:c r="K9" s="45"/>
    </x:row>
    <x:row r="10" ht="21" customHeight="1">
      <x:c r="A10" s="45" t="str">
        <x:v>错题数按出现至少一条审校发现的不同题号计数；物理卷的 26 条发现对应 12 道题。</x:v>
      </x:c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</x:row>
    <x:row r="11" ht="21" customHeight="1">
      <x:c r="A11" s="45" t="str">
        <x:v>耗时＝单卷解析耗时＋审校耗时，不含排队；平均单题耗时＝耗时÷有效行。</x:v>
      </x:c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</x:row>
    <x:row r="12" ht="21" customHeight="1">
      <x:c r="A12" s="45" t="str">
        <x:v>Prompt 为最优版八类混合思考模式；其他错误类型沿用 system-qwen38-27b-v1。</x:v>
      </x:c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</x:row>
    <x:row r="13" ht="21" customHeight="1">
      <x:c r="A13" s="45" t="str">
        <x:v>来源：首批运行结果与运行数据库；具体运行标识见 run_id。</x:v>
      </x:c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</x:row>
  </x:sheetData>
  <x:mergeCells>
    <x:mergeCell ref="A9:K9"/>
    <x:mergeCell ref="A10:K10"/>
    <x:mergeCell ref="A11:K11"/>
    <x:mergeCell ref="A12:K12"/>
    <x:mergeCell ref="A13:K13"/>
  </x:mergeCells>
  <x:pageMargins left="0.7" right="0.7" top="0.75" bottom="0.75" header="0.3" footer="0.3"/>
</x:worksheet>
</file>